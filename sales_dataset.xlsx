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6556f1e1173cc4/Desktop/internova assignment/python week 3 assignment/Excel/"/>
    </mc:Choice>
  </mc:AlternateContent>
  <xr:revisionPtr revIDLastSave="180" documentId="8_{FF7F215A-DC89-4780-A6C7-05B581438CC4}" xr6:coauthVersionLast="47" xr6:coauthVersionMax="47" xr10:uidLastSave="{6297C076-F3D8-41A5-90CB-7C9CB00FEC98}"/>
  <bookViews>
    <workbookView xWindow="-110" yWindow="-110" windowWidth="19420" windowHeight="10300" activeTab="1" xr2:uid="{2B713EA1-9DB5-4D29-9365-B64AF24DF894}"/>
  </bookViews>
  <sheets>
    <sheet name="task7" sheetId="1" r:id="rId1"/>
    <sheet name="task9" sheetId="4" r:id="rId2"/>
    <sheet name="task 8" sheetId="2" r:id="rId3"/>
  </sheets>
  <definedNames>
    <definedName name="_xlnm._FilterDatabase" localSheetId="0" hidden="1">task7!$A$1:$F$31</definedName>
  </definedNames>
  <calcPr calcId="0"/>
  <pivotCaches>
    <pivotCache cacheId="3" r:id="rId4"/>
  </pivotCaches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J3" i="2"/>
  <c r="J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J3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</calcChain>
</file>

<file path=xl/sharedStrings.xml><?xml version="1.0" encoding="utf-8"?>
<sst xmlns="http://schemas.openxmlformats.org/spreadsheetml/2006/main" count="191" uniqueCount="40">
  <si>
    <t>Order_ID</t>
  </si>
  <si>
    <t>Product</t>
  </si>
  <si>
    <t>Category</t>
  </si>
  <si>
    <t>Quantity</t>
  </si>
  <si>
    <t>Price</t>
  </si>
  <si>
    <t>Sales</t>
  </si>
  <si>
    <t>Laptop</t>
  </si>
  <si>
    <t>Electronics</t>
  </si>
  <si>
    <t>Mouse</t>
  </si>
  <si>
    <t>Keyboard</t>
  </si>
  <si>
    <t>Chair</t>
  </si>
  <si>
    <t>Furniture</t>
  </si>
  <si>
    <t>Table</t>
  </si>
  <si>
    <t>Notebook</t>
  </si>
  <si>
    <t>Stationery</t>
  </si>
  <si>
    <t>Pen</t>
  </si>
  <si>
    <t>Headphones</t>
  </si>
  <si>
    <t>Desk</t>
  </si>
  <si>
    <t>Marker</t>
  </si>
  <si>
    <t>Monitor</t>
  </si>
  <si>
    <t>Printer</t>
  </si>
  <si>
    <t>Office Chair</t>
  </si>
  <si>
    <t>Bookshelf</t>
  </si>
  <si>
    <t>File Folder</t>
  </si>
  <si>
    <t>USB Cable</t>
  </si>
  <si>
    <t>Webcam</t>
  </si>
  <si>
    <t>Lamp</t>
  </si>
  <si>
    <t>Calculator</t>
  </si>
  <si>
    <t>Stapler</t>
  </si>
  <si>
    <t>Sales_Status</t>
  </si>
  <si>
    <t>Metric</t>
  </si>
  <si>
    <t>Result</t>
  </si>
  <si>
    <t>Electronics Count</t>
  </si>
  <si>
    <t>Electronics Sales</t>
  </si>
  <si>
    <t>VLOOKUP_Category</t>
  </si>
  <si>
    <t>XLOOKUP_Category</t>
  </si>
  <si>
    <t>Row Labels</t>
  </si>
  <si>
    <t>(blank)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</si>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</sst>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[sales_dataset.xlsx]task9!PivotTable1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task9!$A$4:$A$8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(blank)</c:v>
                </c:pt>
              </c:strCache>
            </c:strRef>
          </c:cat>
          <c:val>
            <c:numRef>
              <c:f>task9!$B$4:$B$8</c:f>
              <c:numCache>
                <c:formatCode>General</c:formatCode>
                <c:ptCount val="4"/>
                <c:pt idx="0">
                  <c:v>274100</c:v>
                </c:pt>
                <c:pt idx="1">
                  <c:v>83500</c:v>
                </c:pt>
                <c:pt idx="2">
                  <c:v>6990</c:v>
                </c:pt>
                <c:pt idx="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8-4811-AD7B-EF3FDDB837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3597568"/>
        <c:axId val="1286941264"/>
      </c:barChart>
      <c:catAx>
        <c:axId val="97359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941264"/>
        <c:crosses val="autoZero"/>
        <c:auto val="1"/>
        <c:lblAlgn val="ctr"/>
        <c:lblOffset val="100"/>
        <c:noMultiLvlLbl val="0"/>
      </c:catAx>
      <c:valAx>
        <c:axId val="12869412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7359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2</xdr:row>
      <xdr:rowOff>82550</xdr:rowOff>
    </xdr:from>
    <xdr:to>
      <xdr:col>9</xdr:col>
      <xdr:colOff>546100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CA71DF-9E81-34A7-C915-D22FC81CC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8.67152546296" createdVersion="8" refreshedVersion="8" minRefreshableVersion="3" recordCount="30" xr:uid="{082CC9C0-FE08-4CF5-913B-CD73839F2CD7}">
  <cacheSource type="worksheet">
    <worksheetSource ref="A1:G31" sheet="task 8"/>
  </cacheSource>
  <cacheFields count="7">
    <cacheField name="Order_ID" numFmtId="0">
      <sharedItems containsSemiMixedTypes="0" containsString="0" containsNumber="1" containsInteger="1" minValue="1001" maxValue="1030"/>
    </cacheField>
    <cacheField name="Product" numFmtId="0">
      <sharedItems/>
    </cacheField>
    <cacheField name="Category" numFmtId="0">
      <sharedItems containsBlank="1" count="4">
        <s v="Electronics"/>
        <s v="Furniture"/>
        <m/>
        <s v="Stationery"/>
      </sharedItems>
    </cacheField>
    <cacheField name="Quantity" numFmtId="0">
      <sharedItems containsString="0" containsBlank="1" containsNumber="1" containsInteger="1" minValue="1" maxValue="20"/>
    </cacheField>
    <cacheField name="Price" numFmtId="0">
      <sharedItems containsString="0" containsBlank="1" containsNumber="1" containsInteger="1" minValue="20" maxValue="50000"/>
    </cacheField>
    <cacheField name="Sales" numFmtId="0">
      <sharedItems containsString="0" containsBlank="1" containsNumber="1" containsInteger="1" minValue="240" maxValue="100000"/>
    </cacheField>
    <cacheField name="Sales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s v="Laptop"/>
    <x v="0"/>
    <n v="2"/>
    <n v="50000"/>
    <n v="100000"/>
    <s v="High Sales"/>
  </r>
  <r>
    <n v="1021"/>
    <s v="Laptop"/>
    <x v="0"/>
    <n v="1"/>
    <n v="50000"/>
    <n v="50000"/>
    <s v="High Sales"/>
  </r>
  <r>
    <n v="1030"/>
    <s v="Monitor"/>
    <x v="0"/>
    <n v="3"/>
    <n v="15000"/>
    <n v="45000"/>
    <s v="High Sales"/>
  </r>
  <r>
    <n v="1011"/>
    <s v="Monitor"/>
    <x v="0"/>
    <n v="2"/>
    <n v="15000"/>
    <n v="30000"/>
    <s v="High Sales"/>
  </r>
  <r>
    <n v="1009"/>
    <s v="Desk"/>
    <x v="1"/>
    <n v="2"/>
    <n v="7000"/>
    <n v="14000"/>
    <s v="High Sales"/>
  </r>
  <r>
    <n v="1013"/>
    <s v="Office Chair"/>
    <x v="1"/>
    <m/>
    <n v="4500"/>
    <n v="13500"/>
    <s v="High Sales"/>
  </r>
  <r>
    <n v="1004"/>
    <s v="Chair"/>
    <x v="1"/>
    <n v="4"/>
    <n v="3000"/>
    <n v="12000"/>
    <s v="High Sales"/>
  </r>
  <r>
    <n v="1012"/>
    <s v="Printer"/>
    <x v="0"/>
    <n v="1"/>
    <n v="12000"/>
    <n v="12000"/>
    <s v="High Sales"/>
  </r>
  <r>
    <n v="1014"/>
    <s v="Bookshelf"/>
    <x v="1"/>
    <n v="2"/>
    <n v="6000"/>
    <n v="12000"/>
    <s v="High Sales"/>
  </r>
  <r>
    <n v="1005"/>
    <s v="Table"/>
    <x v="1"/>
    <n v="2"/>
    <n v="5000"/>
    <n v="10000"/>
    <s v="Normal Sales"/>
  </r>
  <r>
    <n v="1018"/>
    <s v="Lamp"/>
    <x v="1"/>
    <n v="5"/>
    <n v="1800"/>
    <n v="9000"/>
    <s v="Normal Sales"/>
  </r>
  <r>
    <n v="1017"/>
    <s v="Webcam"/>
    <x v="0"/>
    <n v="2"/>
    <n v="3500"/>
    <n v="7000"/>
    <s v="Normal Sales"/>
  </r>
  <r>
    <n v="1028"/>
    <s v="Desk"/>
    <x v="1"/>
    <n v="1"/>
    <n v="7000"/>
    <n v="7000"/>
    <s v="Normal Sales"/>
  </r>
  <r>
    <n v="1008"/>
    <s v="Headphones"/>
    <x v="0"/>
    <n v="3"/>
    <n v="2000"/>
    <n v="6000"/>
    <s v="Normal Sales"/>
  </r>
  <r>
    <n v="1024"/>
    <s v="Chair"/>
    <x v="1"/>
    <n v="2"/>
    <n v="3000"/>
    <n v="6000"/>
    <s v="Normal Sales"/>
  </r>
  <r>
    <n v="1022"/>
    <s v="Mouse"/>
    <x v="0"/>
    <n v="10"/>
    <n v="500"/>
    <n v="5000"/>
    <s v="Normal Sales"/>
  </r>
  <r>
    <n v="1023"/>
    <s v="Keyboard"/>
    <x v="0"/>
    <n v="4"/>
    <n v="1200"/>
    <n v="4800"/>
    <s v="Normal Sales"/>
  </r>
  <r>
    <n v="1016"/>
    <s v="USB Cable"/>
    <x v="0"/>
    <n v="6"/>
    <n v="700"/>
    <n v="4200"/>
    <s v="Normal Sales"/>
  </r>
  <r>
    <n v="1027"/>
    <s v="Headphones"/>
    <x v="0"/>
    <n v="2"/>
    <n v="2000"/>
    <n v="4000"/>
    <s v="Normal Sales"/>
  </r>
  <r>
    <n v="1003"/>
    <s v="Keyboard"/>
    <x v="0"/>
    <n v="3"/>
    <n v="1200"/>
    <n v="3600"/>
    <s v="Normal Sales"/>
  </r>
  <r>
    <n v="1002"/>
    <s v="Mouse"/>
    <x v="0"/>
    <n v="5"/>
    <n v="500"/>
    <n v="2500"/>
    <s v="Normal Sales"/>
  </r>
  <r>
    <n v="1019"/>
    <s v="Calculator"/>
    <x v="2"/>
    <n v="4"/>
    <n v="500"/>
    <n v="2000"/>
    <s v="Normal Sales"/>
  </r>
  <r>
    <n v="1026"/>
    <s v="Notebook"/>
    <x v="3"/>
    <n v="20"/>
    <n v="100"/>
    <n v="2000"/>
    <s v="Normal Sales"/>
  </r>
  <r>
    <n v="1020"/>
    <s v="Stapler"/>
    <x v="3"/>
    <n v="7"/>
    <n v="250"/>
    <n v="1750"/>
    <s v="Normal Sales"/>
  </r>
  <r>
    <n v="1015"/>
    <s v="File Folder"/>
    <x v="3"/>
    <n v="15"/>
    <n v="80"/>
    <n v="1200"/>
    <s v="Normal Sales"/>
  </r>
  <r>
    <n v="1006"/>
    <s v="Notebook"/>
    <x v="3"/>
    <n v="10"/>
    <n v="100"/>
    <n v="1000"/>
    <s v="Normal Sales"/>
  </r>
  <r>
    <n v="1007"/>
    <s v="Pen"/>
    <x v="3"/>
    <n v="20"/>
    <m/>
    <n v="400"/>
    <s v="Normal Sales"/>
  </r>
  <r>
    <n v="1010"/>
    <s v="Marker"/>
    <x v="3"/>
    <n v="8"/>
    <n v="50"/>
    <n v="400"/>
    <s v="Normal Sales"/>
  </r>
  <r>
    <n v="1029"/>
    <s v="Pen"/>
    <x v="3"/>
    <n v="12"/>
    <n v="20"/>
    <n v="240"/>
    <s v="Normal Sales"/>
  </r>
  <r>
    <n v="1025"/>
    <s v="Table"/>
    <x v="1"/>
    <n v="3"/>
    <n v="5000"/>
    <m/>
    <s v="Normal Sal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1AF6B-9046-4D59-B1B4-E59536E67C7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14F07-D5A3-45B2-9261-68A1486B0B73}">
  <dimension ref="A1:J31"/>
  <sheetViews>
    <sheetView workbookViewId="0">
      <selection activeCell="I1" sqref="I1:J3"/>
    </sheetView>
  </sheetViews>
  <sheetFormatPr defaultRowHeight="14.5" x14ac:dyDescent="0.35"/>
  <cols>
    <col min="1" max="1" width="8.08984375" bestFit="1" customWidth="1"/>
    <col min="2" max="2" width="11" bestFit="1" customWidth="1"/>
    <col min="3" max="3" width="9.90625" bestFit="1" customWidth="1"/>
    <col min="4" max="4" width="8" bestFit="1" customWidth="1"/>
    <col min="5" max="5" width="5.81640625" bestFit="1" customWidth="1"/>
    <col min="6" max="6" width="6.81640625" bestFit="1" customWidth="1"/>
    <col min="7" max="7" width="11.81640625" customWidth="1"/>
    <col min="9" max="9" width="15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</v>
      </c>
      <c r="I1" s="1" t="s">
        <v>30</v>
      </c>
      <c r="J1" s="1" t="s">
        <v>31</v>
      </c>
    </row>
    <row r="2" spans="1:10" x14ac:dyDescent="0.35">
      <c r="A2">
        <v>1001</v>
      </c>
      <c r="B2" t="s">
        <v>6</v>
      </c>
      <c r="C2" t="s">
        <v>7</v>
      </c>
      <c r="D2">
        <v>2</v>
      </c>
      <c r="E2">
        <v>50000</v>
      </c>
      <c r="F2">
        <v>100000</v>
      </c>
      <c r="G2" t="str">
        <f>IF(F2&gt;10000,"High Sales","Normal Sales")</f>
        <v>High Sales</v>
      </c>
      <c r="I2" t="s">
        <v>32</v>
      </c>
      <c r="J2">
        <f>COUNTIF(C:C,"Electronics")</f>
        <v>13</v>
      </c>
    </row>
    <row r="3" spans="1:10" x14ac:dyDescent="0.35">
      <c r="A3">
        <v>1021</v>
      </c>
      <c r="B3" t="s">
        <v>6</v>
      </c>
      <c r="C3" t="s">
        <v>7</v>
      </c>
      <c r="D3">
        <v>1</v>
      </c>
      <c r="E3">
        <v>50000</v>
      </c>
      <c r="F3">
        <v>50000</v>
      </c>
      <c r="G3" t="str">
        <f t="shared" ref="G3:G33" si="0">IF(F3&gt;10000,"High Sales","Normal Sales")</f>
        <v>High Sales</v>
      </c>
      <c r="I3" t="s">
        <v>33</v>
      </c>
      <c r="J3">
        <f>SUMIF(C:C,"Electronics",F:F)</f>
        <v>274100</v>
      </c>
    </row>
    <row r="4" spans="1:10" x14ac:dyDescent="0.35">
      <c r="A4">
        <v>1030</v>
      </c>
      <c r="B4" t="s">
        <v>19</v>
      </c>
      <c r="C4" t="s">
        <v>7</v>
      </c>
      <c r="D4">
        <v>3</v>
      </c>
      <c r="E4">
        <v>15000</v>
      </c>
      <c r="F4">
        <v>45000</v>
      </c>
      <c r="G4" t="str">
        <f t="shared" si="0"/>
        <v>High Sales</v>
      </c>
    </row>
    <row r="5" spans="1:10" x14ac:dyDescent="0.35">
      <c r="A5">
        <v>1011</v>
      </c>
      <c r="B5" t="s">
        <v>19</v>
      </c>
      <c r="C5" t="s">
        <v>7</v>
      </c>
      <c r="D5">
        <v>2</v>
      </c>
      <c r="E5">
        <v>15000</v>
      </c>
      <c r="F5">
        <v>30000</v>
      </c>
      <c r="G5" t="str">
        <f t="shared" si="0"/>
        <v>High Sales</v>
      </c>
    </row>
    <row r="6" spans="1:10" x14ac:dyDescent="0.35">
      <c r="A6">
        <v>1009</v>
      </c>
      <c r="B6" t="s">
        <v>17</v>
      </c>
      <c r="C6" t="s">
        <v>11</v>
      </c>
      <c r="D6">
        <v>2</v>
      </c>
      <c r="E6">
        <v>7000</v>
      </c>
      <c r="F6">
        <v>14000</v>
      </c>
      <c r="G6" t="str">
        <f t="shared" si="0"/>
        <v>High Sales</v>
      </c>
    </row>
    <row r="7" spans="1:10" x14ac:dyDescent="0.35">
      <c r="A7">
        <v>1013</v>
      </c>
      <c r="B7" t="s">
        <v>21</v>
      </c>
      <c r="C7" t="s">
        <v>11</v>
      </c>
      <c r="E7">
        <v>4500</v>
      </c>
      <c r="F7">
        <v>13500</v>
      </c>
      <c r="G7" t="str">
        <f t="shared" si="0"/>
        <v>High Sales</v>
      </c>
    </row>
    <row r="8" spans="1:10" x14ac:dyDescent="0.35">
      <c r="A8">
        <v>1004</v>
      </c>
      <c r="B8" t="s">
        <v>10</v>
      </c>
      <c r="C8" t="s">
        <v>11</v>
      </c>
      <c r="D8">
        <v>4</v>
      </c>
      <c r="E8">
        <v>3000</v>
      </c>
      <c r="F8">
        <v>12000</v>
      </c>
      <c r="G8" t="str">
        <f t="shared" si="0"/>
        <v>High Sales</v>
      </c>
    </row>
    <row r="9" spans="1:10" x14ac:dyDescent="0.35">
      <c r="A9">
        <v>1012</v>
      </c>
      <c r="B9" t="s">
        <v>20</v>
      </c>
      <c r="C9" t="s">
        <v>7</v>
      </c>
      <c r="D9">
        <v>1</v>
      </c>
      <c r="E9">
        <v>12000</v>
      </c>
      <c r="F9">
        <v>12000</v>
      </c>
      <c r="G9" t="str">
        <f t="shared" si="0"/>
        <v>High Sales</v>
      </c>
    </row>
    <row r="10" spans="1:10" x14ac:dyDescent="0.35">
      <c r="A10">
        <v>1014</v>
      </c>
      <c r="B10" t="s">
        <v>22</v>
      </c>
      <c r="C10" t="s">
        <v>11</v>
      </c>
      <c r="D10">
        <v>2</v>
      </c>
      <c r="E10">
        <v>6000</v>
      </c>
      <c r="F10">
        <v>12000</v>
      </c>
      <c r="G10" t="str">
        <f t="shared" si="0"/>
        <v>High Sales</v>
      </c>
    </row>
    <row r="11" spans="1:10" x14ac:dyDescent="0.35">
      <c r="A11">
        <v>1005</v>
      </c>
      <c r="B11" t="s">
        <v>12</v>
      </c>
      <c r="C11" t="s">
        <v>11</v>
      </c>
      <c r="D11">
        <v>2</v>
      </c>
      <c r="E11">
        <v>5000</v>
      </c>
      <c r="F11">
        <v>10000</v>
      </c>
      <c r="G11" t="str">
        <f t="shared" si="0"/>
        <v>Normal Sales</v>
      </c>
    </row>
    <row r="12" spans="1:10" x14ac:dyDescent="0.35">
      <c r="A12">
        <v>1018</v>
      </c>
      <c r="B12" t="s">
        <v>26</v>
      </c>
      <c r="C12" t="s">
        <v>11</v>
      </c>
      <c r="D12">
        <v>5</v>
      </c>
      <c r="E12">
        <v>1800</v>
      </c>
      <c r="F12">
        <v>9000</v>
      </c>
      <c r="G12" t="str">
        <f t="shared" si="0"/>
        <v>Normal Sales</v>
      </c>
    </row>
    <row r="13" spans="1:10" x14ac:dyDescent="0.35">
      <c r="A13">
        <v>1017</v>
      </c>
      <c r="B13" t="s">
        <v>25</v>
      </c>
      <c r="C13" t="s">
        <v>7</v>
      </c>
      <c r="D13">
        <v>2</v>
      </c>
      <c r="E13">
        <v>3500</v>
      </c>
      <c r="F13">
        <v>7000</v>
      </c>
      <c r="G13" t="str">
        <f t="shared" si="0"/>
        <v>Normal Sales</v>
      </c>
    </row>
    <row r="14" spans="1:10" x14ac:dyDescent="0.35">
      <c r="A14">
        <v>1028</v>
      </c>
      <c r="B14" t="s">
        <v>17</v>
      </c>
      <c r="C14" t="s">
        <v>11</v>
      </c>
      <c r="D14">
        <v>1</v>
      </c>
      <c r="E14">
        <v>7000</v>
      </c>
      <c r="F14">
        <v>7000</v>
      </c>
      <c r="G14" t="str">
        <f t="shared" si="0"/>
        <v>Normal Sales</v>
      </c>
    </row>
    <row r="15" spans="1:10" x14ac:dyDescent="0.35">
      <c r="A15">
        <v>1008</v>
      </c>
      <c r="B15" t="s">
        <v>16</v>
      </c>
      <c r="C15" t="s">
        <v>7</v>
      </c>
      <c r="D15">
        <v>3</v>
      </c>
      <c r="E15">
        <v>2000</v>
      </c>
      <c r="F15">
        <v>6000</v>
      </c>
      <c r="G15" t="str">
        <f t="shared" si="0"/>
        <v>Normal Sales</v>
      </c>
    </row>
    <row r="16" spans="1:10" x14ac:dyDescent="0.35">
      <c r="A16">
        <v>1024</v>
      </c>
      <c r="B16" t="s">
        <v>10</v>
      </c>
      <c r="C16" t="s">
        <v>11</v>
      </c>
      <c r="D16">
        <v>2</v>
      </c>
      <c r="E16">
        <v>3000</v>
      </c>
      <c r="F16">
        <v>6000</v>
      </c>
      <c r="G16" t="str">
        <f t="shared" si="0"/>
        <v>Normal Sales</v>
      </c>
    </row>
    <row r="17" spans="1:7" x14ac:dyDescent="0.35">
      <c r="A17">
        <v>1022</v>
      </c>
      <c r="B17" t="s">
        <v>8</v>
      </c>
      <c r="C17" t="s">
        <v>7</v>
      </c>
      <c r="D17">
        <v>10</v>
      </c>
      <c r="E17">
        <v>500</v>
      </c>
      <c r="F17">
        <v>5000</v>
      </c>
      <c r="G17" t="str">
        <f t="shared" si="0"/>
        <v>Normal Sales</v>
      </c>
    </row>
    <row r="18" spans="1:7" x14ac:dyDescent="0.35">
      <c r="A18">
        <v>1023</v>
      </c>
      <c r="B18" t="s">
        <v>9</v>
      </c>
      <c r="C18" t="s">
        <v>7</v>
      </c>
      <c r="D18">
        <v>4</v>
      </c>
      <c r="E18">
        <v>1200</v>
      </c>
      <c r="F18">
        <v>4800</v>
      </c>
      <c r="G18" t="str">
        <f t="shared" si="0"/>
        <v>Normal Sales</v>
      </c>
    </row>
    <row r="19" spans="1:7" x14ac:dyDescent="0.35">
      <c r="A19">
        <v>1016</v>
      </c>
      <c r="B19" t="s">
        <v>24</v>
      </c>
      <c r="C19" t="s">
        <v>7</v>
      </c>
      <c r="D19">
        <v>6</v>
      </c>
      <c r="E19">
        <v>700</v>
      </c>
      <c r="F19">
        <v>4200</v>
      </c>
      <c r="G19" t="str">
        <f t="shared" si="0"/>
        <v>Normal Sales</v>
      </c>
    </row>
    <row r="20" spans="1:7" x14ac:dyDescent="0.35">
      <c r="A20">
        <v>1027</v>
      </c>
      <c r="B20" t="s">
        <v>16</v>
      </c>
      <c r="C20" t="s">
        <v>7</v>
      </c>
      <c r="D20">
        <v>2</v>
      </c>
      <c r="E20">
        <v>2000</v>
      </c>
      <c r="F20">
        <v>4000</v>
      </c>
      <c r="G20" t="str">
        <f t="shared" si="0"/>
        <v>Normal Sales</v>
      </c>
    </row>
    <row r="21" spans="1:7" x14ac:dyDescent="0.35">
      <c r="A21">
        <v>1003</v>
      </c>
      <c r="B21" t="s">
        <v>9</v>
      </c>
      <c r="C21" t="s">
        <v>7</v>
      </c>
      <c r="D21">
        <v>3</v>
      </c>
      <c r="E21">
        <v>1200</v>
      </c>
      <c r="F21">
        <v>3600</v>
      </c>
      <c r="G21" t="str">
        <f t="shared" si="0"/>
        <v>Normal Sales</v>
      </c>
    </row>
    <row r="22" spans="1:7" x14ac:dyDescent="0.35">
      <c r="A22">
        <v>1002</v>
      </c>
      <c r="B22" t="s">
        <v>8</v>
      </c>
      <c r="C22" t="s">
        <v>7</v>
      </c>
      <c r="D22">
        <v>5</v>
      </c>
      <c r="E22">
        <v>500</v>
      </c>
      <c r="F22">
        <v>2500</v>
      </c>
      <c r="G22" t="str">
        <f t="shared" si="0"/>
        <v>Normal Sales</v>
      </c>
    </row>
    <row r="23" spans="1:7" x14ac:dyDescent="0.35">
      <c r="A23">
        <v>1019</v>
      </c>
      <c r="B23" t="s">
        <v>27</v>
      </c>
      <c r="D23">
        <v>4</v>
      </c>
      <c r="E23">
        <v>500</v>
      </c>
      <c r="F23">
        <v>2000</v>
      </c>
      <c r="G23" t="str">
        <f t="shared" si="0"/>
        <v>Normal Sales</v>
      </c>
    </row>
    <row r="24" spans="1:7" x14ac:dyDescent="0.35">
      <c r="A24">
        <v>1026</v>
      </c>
      <c r="B24" t="s">
        <v>13</v>
      </c>
      <c r="C24" t="s">
        <v>14</v>
      </c>
      <c r="D24">
        <v>20</v>
      </c>
      <c r="E24">
        <v>100</v>
      </c>
      <c r="F24">
        <v>2000</v>
      </c>
      <c r="G24" t="str">
        <f t="shared" si="0"/>
        <v>Normal Sales</v>
      </c>
    </row>
    <row r="25" spans="1:7" x14ac:dyDescent="0.35">
      <c r="A25">
        <v>1020</v>
      </c>
      <c r="B25" t="s">
        <v>28</v>
      </c>
      <c r="C25" t="s">
        <v>14</v>
      </c>
      <c r="D25">
        <v>7</v>
      </c>
      <c r="E25">
        <v>250</v>
      </c>
      <c r="F25">
        <v>1750</v>
      </c>
      <c r="G25" t="str">
        <f t="shared" si="0"/>
        <v>Normal Sales</v>
      </c>
    </row>
    <row r="26" spans="1:7" x14ac:dyDescent="0.35">
      <c r="A26">
        <v>1015</v>
      </c>
      <c r="B26" t="s">
        <v>23</v>
      </c>
      <c r="C26" t="s">
        <v>14</v>
      </c>
      <c r="D26">
        <v>15</v>
      </c>
      <c r="E26">
        <v>80</v>
      </c>
      <c r="F26">
        <v>1200</v>
      </c>
      <c r="G26" t="str">
        <f t="shared" si="0"/>
        <v>Normal Sales</v>
      </c>
    </row>
    <row r="27" spans="1:7" x14ac:dyDescent="0.35">
      <c r="A27">
        <v>1006</v>
      </c>
      <c r="B27" t="s">
        <v>13</v>
      </c>
      <c r="C27" t="s">
        <v>14</v>
      </c>
      <c r="D27">
        <v>10</v>
      </c>
      <c r="E27">
        <v>100</v>
      </c>
      <c r="F27">
        <v>1000</v>
      </c>
      <c r="G27" t="str">
        <f t="shared" si="0"/>
        <v>Normal Sales</v>
      </c>
    </row>
    <row r="28" spans="1:7" x14ac:dyDescent="0.35">
      <c r="A28">
        <v>1007</v>
      </c>
      <c r="B28" t="s">
        <v>15</v>
      </c>
      <c r="C28" t="s">
        <v>14</v>
      </c>
      <c r="D28">
        <v>20</v>
      </c>
      <c r="F28">
        <v>400</v>
      </c>
      <c r="G28" t="str">
        <f t="shared" si="0"/>
        <v>Normal Sales</v>
      </c>
    </row>
    <row r="29" spans="1:7" x14ac:dyDescent="0.35">
      <c r="A29">
        <v>1010</v>
      </c>
      <c r="B29" t="s">
        <v>18</v>
      </c>
      <c r="C29" t="s">
        <v>14</v>
      </c>
      <c r="D29">
        <v>8</v>
      </c>
      <c r="E29">
        <v>50</v>
      </c>
      <c r="F29">
        <v>400</v>
      </c>
      <c r="G29" t="str">
        <f t="shared" si="0"/>
        <v>Normal Sales</v>
      </c>
    </row>
    <row r="30" spans="1:7" x14ac:dyDescent="0.35">
      <c r="A30">
        <v>1029</v>
      </c>
      <c r="B30" t="s">
        <v>15</v>
      </c>
      <c r="C30" t="s">
        <v>14</v>
      </c>
      <c r="D30">
        <v>12</v>
      </c>
      <c r="E30">
        <v>20</v>
      </c>
      <c r="F30">
        <v>240</v>
      </c>
      <c r="G30" t="str">
        <f t="shared" si="0"/>
        <v>Normal Sales</v>
      </c>
    </row>
    <row r="31" spans="1:7" x14ac:dyDescent="0.35">
      <c r="A31">
        <v>1025</v>
      </c>
      <c r="B31" t="s">
        <v>12</v>
      </c>
      <c r="C31" t="s">
        <v>11</v>
      </c>
      <c r="D31">
        <v>3</v>
      </c>
      <c r="E31">
        <v>5000</v>
      </c>
      <c r="G31" t="str">
        <f t="shared" si="0"/>
        <v>Normal Sales</v>
      </c>
    </row>
  </sheetData>
  <sortState xmlns:xlrd2="http://schemas.microsoft.com/office/spreadsheetml/2017/richdata2" ref="A2:F31">
    <sortCondition descending="1" ref="F2:F31"/>
  </sortState>
  <conditionalFormatting sqref="F2:F31">
    <cfRule type="cellIs" dxfId="1" priority="1" operator="greaterThan">
      <formula>10000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EB57-483A-4F0B-96EF-32F3B44F5808}">
  <dimension ref="A3:B8"/>
  <sheetViews>
    <sheetView tabSelected="1" workbookViewId="0">
      <selection activeCell="L12" sqref="L12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3" t="s">
        <v>36</v>
      </c>
      <c r="B3" t="s">
        <v>39</v>
      </c>
    </row>
    <row r="4" spans="1:2" x14ac:dyDescent="0.35">
      <c r="A4" s="4" t="s">
        <v>7</v>
      </c>
      <c r="B4" s="5">
        <v>274100</v>
      </c>
    </row>
    <row r="5" spans="1:2" x14ac:dyDescent="0.35">
      <c r="A5" s="4" t="s">
        <v>11</v>
      </c>
      <c r="B5" s="5">
        <v>83500</v>
      </c>
    </row>
    <row r="6" spans="1:2" x14ac:dyDescent="0.35">
      <c r="A6" s="4" t="s">
        <v>14</v>
      </c>
      <c r="B6" s="5">
        <v>6990</v>
      </c>
    </row>
    <row r="7" spans="1:2" x14ac:dyDescent="0.35">
      <c r="A7" s="4" t="s">
        <v>37</v>
      </c>
      <c r="B7" s="5">
        <v>2000</v>
      </c>
    </row>
    <row r="8" spans="1:2" x14ac:dyDescent="0.35">
      <c r="A8" s="4" t="s">
        <v>38</v>
      </c>
      <c r="B8" s="5">
        <v>366590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F1D2-01E1-4530-86FF-0AAEAD538E31}">
  <dimension ref="A1:P31"/>
  <sheetViews>
    <sheetView workbookViewId="0">
      <selection activeCell="B9" sqref="B9"/>
    </sheetView>
  </sheetViews>
  <sheetFormatPr defaultRowHeight="14.5" x14ac:dyDescent="0.35"/>
  <cols>
    <col min="1" max="1" width="8.08984375" bestFit="1" customWidth="1"/>
    <col min="2" max="2" width="11" bestFit="1" customWidth="1"/>
    <col min="3" max="3" width="9.90625" bestFit="1" customWidth="1"/>
    <col min="4" max="4" width="8" bestFit="1" customWidth="1"/>
    <col min="5" max="5" width="5.81640625" bestFit="1" customWidth="1"/>
    <col min="6" max="6" width="6.81640625" bestFit="1" customWidth="1"/>
    <col min="7" max="7" width="11.54296875" bestFit="1" customWidth="1"/>
    <col min="9" max="9" width="15.26953125" bestFit="1" customWidth="1"/>
    <col min="10" max="10" width="6.81640625" bestFit="1" customWidth="1"/>
    <col min="13" max="13" width="11" bestFit="1" customWidth="1"/>
    <col min="14" max="14" width="9.6328125" bestFit="1" customWidth="1"/>
    <col min="15" max="15" width="17.1796875" bestFit="1" customWidth="1"/>
    <col min="16" max="16" width="17.089843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</v>
      </c>
      <c r="I1" s="1" t="s">
        <v>30</v>
      </c>
      <c r="J1" s="1" t="s">
        <v>31</v>
      </c>
      <c r="M1" s="1" t="s">
        <v>1</v>
      </c>
      <c r="N1" s="1" t="s">
        <v>2</v>
      </c>
      <c r="O1" s="1" t="s">
        <v>34</v>
      </c>
      <c r="P1" s="1" t="s">
        <v>35</v>
      </c>
    </row>
    <row r="2" spans="1:16" x14ac:dyDescent="0.35">
      <c r="A2">
        <v>1001</v>
      </c>
      <c r="B2" t="s">
        <v>6</v>
      </c>
      <c r="C2" t="s">
        <v>7</v>
      </c>
      <c r="D2">
        <v>2</v>
      </c>
      <c r="E2">
        <v>50000</v>
      </c>
      <c r="F2">
        <v>100000</v>
      </c>
      <c r="G2" t="str">
        <f>IF(F2&gt;10000,"High Sales","Normal Sales")</f>
        <v>High Sales</v>
      </c>
      <c r="I2" t="s">
        <v>32</v>
      </c>
      <c r="J2">
        <f>COUNTIF(C:C,"Electronics")</f>
        <v>13</v>
      </c>
      <c r="M2" t="s">
        <v>6</v>
      </c>
      <c r="N2" s="2" t="s">
        <v>7</v>
      </c>
      <c r="O2" t="str">
        <f>VLOOKUP(B2,$M$2:$N$21,2,FALSE)</f>
        <v>Electronics</v>
      </c>
      <c r="P2" t="str">
        <f>_xlfn.XLOOKUP(B2,$M$2:$M$21,$N$2:$N$21,"Not Found")</f>
        <v>Electronics</v>
      </c>
    </row>
    <row r="3" spans="1:16" x14ac:dyDescent="0.35">
      <c r="A3">
        <v>1021</v>
      </c>
      <c r="B3" t="s">
        <v>6</v>
      </c>
      <c r="C3" t="s">
        <v>7</v>
      </c>
      <c r="D3">
        <v>1</v>
      </c>
      <c r="E3">
        <v>50000</v>
      </c>
      <c r="F3">
        <v>50000</v>
      </c>
      <c r="G3" t="str">
        <f t="shared" ref="G3:G31" si="0">IF(F3&gt;10000,"High Sales","Normal Sales")</f>
        <v>High Sales</v>
      </c>
      <c r="I3" t="s">
        <v>33</v>
      </c>
      <c r="J3">
        <f>SUMIF(C:C,"Electronics",F:F)</f>
        <v>274100</v>
      </c>
      <c r="M3" t="s">
        <v>8</v>
      </c>
      <c r="N3" s="2" t="s">
        <v>7</v>
      </c>
      <c r="O3" t="str">
        <f t="shared" ref="O3:O21" si="1">VLOOKUP(B3,$M$2:$N$21,2,FALSE)</f>
        <v>Electronics</v>
      </c>
      <c r="P3" t="str">
        <f t="shared" ref="P3:P21" si="2">_xlfn.XLOOKUP(B3,$M$2:$M$21,$N$2:$N$21,"Not Found")</f>
        <v>Electronics</v>
      </c>
    </row>
    <row r="4" spans="1:16" x14ac:dyDescent="0.35">
      <c r="A4">
        <v>1030</v>
      </c>
      <c r="B4" t="s">
        <v>19</v>
      </c>
      <c r="C4" t="s">
        <v>7</v>
      </c>
      <c r="D4">
        <v>3</v>
      </c>
      <c r="E4">
        <v>15000</v>
      </c>
      <c r="F4">
        <v>45000</v>
      </c>
      <c r="G4" t="str">
        <f t="shared" si="0"/>
        <v>High Sales</v>
      </c>
      <c r="M4" t="s">
        <v>9</v>
      </c>
      <c r="N4" s="2" t="s">
        <v>7</v>
      </c>
      <c r="O4" t="str">
        <f t="shared" si="1"/>
        <v>Electronics</v>
      </c>
      <c r="P4" t="str">
        <f t="shared" si="2"/>
        <v>Electronics</v>
      </c>
    </row>
    <row r="5" spans="1:16" x14ac:dyDescent="0.35">
      <c r="A5">
        <v>1011</v>
      </c>
      <c r="B5" t="s">
        <v>19</v>
      </c>
      <c r="C5" t="s">
        <v>7</v>
      </c>
      <c r="D5">
        <v>2</v>
      </c>
      <c r="E5">
        <v>15000</v>
      </c>
      <c r="F5">
        <v>30000</v>
      </c>
      <c r="G5" t="str">
        <f t="shared" si="0"/>
        <v>High Sales</v>
      </c>
      <c r="M5" t="s">
        <v>10</v>
      </c>
      <c r="N5" s="2" t="s">
        <v>11</v>
      </c>
      <c r="O5" t="str">
        <f t="shared" si="1"/>
        <v>Electronics</v>
      </c>
      <c r="P5" t="str">
        <f t="shared" si="2"/>
        <v>Electronics</v>
      </c>
    </row>
    <row r="6" spans="1:16" x14ac:dyDescent="0.35">
      <c r="A6">
        <v>1009</v>
      </c>
      <c r="B6" t="s">
        <v>17</v>
      </c>
      <c r="C6" t="s">
        <v>11</v>
      </c>
      <c r="D6">
        <v>2</v>
      </c>
      <c r="E6">
        <v>7000</v>
      </c>
      <c r="F6">
        <v>14000</v>
      </c>
      <c r="G6" t="str">
        <f t="shared" si="0"/>
        <v>High Sales</v>
      </c>
      <c r="M6" t="s">
        <v>12</v>
      </c>
      <c r="N6" s="2" t="s">
        <v>11</v>
      </c>
      <c r="O6" t="str">
        <f t="shared" si="1"/>
        <v>Furniture</v>
      </c>
      <c r="P6" t="str">
        <f t="shared" si="2"/>
        <v>Furniture</v>
      </c>
    </row>
    <row r="7" spans="1:16" x14ac:dyDescent="0.35">
      <c r="A7">
        <v>1013</v>
      </c>
      <c r="B7" t="s">
        <v>21</v>
      </c>
      <c r="C7" t="s">
        <v>11</v>
      </c>
      <c r="E7">
        <v>4500</v>
      </c>
      <c r="F7">
        <v>13500</v>
      </c>
      <c r="G7" t="str">
        <f t="shared" si="0"/>
        <v>High Sales</v>
      </c>
      <c r="M7" t="s">
        <v>13</v>
      </c>
      <c r="N7" s="2" t="s">
        <v>14</v>
      </c>
      <c r="O7" t="str">
        <f t="shared" si="1"/>
        <v>Furniture</v>
      </c>
      <c r="P7" t="str">
        <f t="shared" si="2"/>
        <v>Furniture</v>
      </c>
    </row>
    <row r="8" spans="1:16" x14ac:dyDescent="0.35">
      <c r="A8">
        <v>1004</v>
      </c>
      <c r="B8" t="s">
        <v>10</v>
      </c>
      <c r="C8" t="s">
        <v>11</v>
      </c>
      <c r="D8">
        <v>4</v>
      </c>
      <c r="E8">
        <v>3000</v>
      </c>
      <c r="F8">
        <v>12000</v>
      </c>
      <c r="G8" t="str">
        <f t="shared" si="0"/>
        <v>High Sales</v>
      </c>
      <c r="M8" t="s">
        <v>15</v>
      </c>
      <c r="N8" s="2" t="s">
        <v>14</v>
      </c>
      <c r="O8" t="str">
        <f t="shared" si="1"/>
        <v>Furniture</v>
      </c>
      <c r="P8" t="str">
        <f t="shared" si="2"/>
        <v>Furniture</v>
      </c>
    </row>
    <row r="9" spans="1:16" x14ac:dyDescent="0.35">
      <c r="A9">
        <v>1012</v>
      </c>
      <c r="B9" t="s">
        <v>20</v>
      </c>
      <c r="C9" t="s">
        <v>7</v>
      </c>
      <c r="D9">
        <v>1</v>
      </c>
      <c r="E9">
        <v>12000</v>
      </c>
      <c r="F9">
        <v>12000</v>
      </c>
      <c r="G9" t="str">
        <f t="shared" si="0"/>
        <v>High Sales</v>
      </c>
      <c r="M9" t="s">
        <v>16</v>
      </c>
      <c r="N9" s="2" t="s">
        <v>7</v>
      </c>
      <c r="O9" t="str">
        <f t="shared" si="1"/>
        <v>Electronics</v>
      </c>
      <c r="P9" t="str">
        <f t="shared" si="2"/>
        <v>Electronics</v>
      </c>
    </row>
    <row r="10" spans="1:16" x14ac:dyDescent="0.35">
      <c r="A10">
        <v>1014</v>
      </c>
      <c r="B10" t="s">
        <v>22</v>
      </c>
      <c r="C10" t="s">
        <v>11</v>
      </c>
      <c r="D10">
        <v>2</v>
      </c>
      <c r="E10">
        <v>6000</v>
      </c>
      <c r="F10">
        <v>12000</v>
      </c>
      <c r="G10" t="str">
        <f t="shared" si="0"/>
        <v>High Sales</v>
      </c>
      <c r="M10" t="s">
        <v>17</v>
      </c>
      <c r="N10" s="2" t="s">
        <v>11</v>
      </c>
      <c r="O10" t="str">
        <f t="shared" si="1"/>
        <v>Furniture</v>
      </c>
      <c r="P10" t="str">
        <f t="shared" si="2"/>
        <v>Furniture</v>
      </c>
    </row>
    <row r="11" spans="1:16" x14ac:dyDescent="0.35">
      <c r="A11">
        <v>1005</v>
      </c>
      <c r="B11" t="s">
        <v>12</v>
      </c>
      <c r="C11" t="s">
        <v>11</v>
      </c>
      <c r="D11">
        <v>2</v>
      </c>
      <c r="E11">
        <v>5000</v>
      </c>
      <c r="F11">
        <v>10000</v>
      </c>
      <c r="G11" t="str">
        <f t="shared" si="0"/>
        <v>Normal Sales</v>
      </c>
      <c r="M11" t="s">
        <v>18</v>
      </c>
      <c r="N11" s="2" t="s">
        <v>14</v>
      </c>
      <c r="O11" t="str">
        <f t="shared" si="1"/>
        <v>Furniture</v>
      </c>
      <c r="P11" t="str">
        <f t="shared" si="2"/>
        <v>Furniture</v>
      </c>
    </row>
    <row r="12" spans="1:16" x14ac:dyDescent="0.35">
      <c r="A12">
        <v>1018</v>
      </c>
      <c r="B12" t="s">
        <v>26</v>
      </c>
      <c r="C12" t="s">
        <v>11</v>
      </c>
      <c r="D12">
        <v>5</v>
      </c>
      <c r="E12">
        <v>1800</v>
      </c>
      <c r="F12">
        <v>9000</v>
      </c>
      <c r="G12" t="str">
        <f t="shared" si="0"/>
        <v>Normal Sales</v>
      </c>
      <c r="M12" t="s">
        <v>19</v>
      </c>
      <c r="N12" s="2" t="s">
        <v>7</v>
      </c>
      <c r="O12" t="str">
        <f t="shared" si="1"/>
        <v>Furniture</v>
      </c>
      <c r="P12" t="str">
        <f t="shared" si="2"/>
        <v>Furniture</v>
      </c>
    </row>
    <row r="13" spans="1:16" x14ac:dyDescent="0.35">
      <c r="A13">
        <v>1017</v>
      </c>
      <c r="B13" t="s">
        <v>25</v>
      </c>
      <c r="C13" t="s">
        <v>7</v>
      </c>
      <c r="D13">
        <v>2</v>
      </c>
      <c r="E13">
        <v>3500</v>
      </c>
      <c r="F13">
        <v>7000</v>
      </c>
      <c r="G13" t="str">
        <f t="shared" si="0"/>
        <v>Normal Sales</v>
      </c>
      <c r="M13" t="s">
        <v>20</v>
      </c>
      <c r="N13" s="2" t="s">
        <v>7</v>
      </c>
      <c r="O13" t="str">
        <f t="shared" si="1"/>
        <v>Electronics</v>
      </c>
      <c r="P13" t="str">
        <f t="shared" si="2"/>
        <v>Electronics</v>
      </c>
    </row>
    <row r="14" spans="1:16" x14ac:dyDescent="0.35">
      <c r="A14">
        <v>1028</v>
      </c>
      <c r="B14" t="s">
        <v>17</v>
      </c>
      <c r="C14" t="s">
        <v>11</v>
      </c>
      <c r="D14">
        <v>1</v>
      </c>
      <c r="E14">
        <v>7000</v>
      </c>
      <c r="F14">
        <v>7000</v>
      </c>
      <c r="G14" t="str">
        <f t="shared" si="0"/>
        <v>Normal Sales</v>
      </c>
      <c r="M14" t="s">
        <v>21</v>
      </c>
      <c r="N14" s="2" t="s">
        <v>11</v>
      </c>
      <c r="O14" t="str">
        <f t="shared" si="1"/>
        <v>Furniture</v>
      </c>
      <c r="P14" t="str">
        <f t="shared" si="2"/>
        <v>Furniture</v>
      </c>
    </row>
    <row r="15" spans="1:16" x14ac:dyDescent="0.35">
      <c r="A15">
        <v>1008</v>
      </c>
      <c r="B15" t="s">
        <v>16</v>
      </c>
      <c r="C15" t="s">
        <v>7</v>
      </c>
      <c r="D15">
        <v>3</v>
      </c>
      <c r="E15">
        <v>2000</v>
      </c>
      <c r="F15">
        <v>6000</v>
      </c>
      <c r="G15" t="str">
        <f t="shared" si="0"/>
        <v>Normal Sales</v>
      </c>
      <c r="M15" t="s">
        <v>22</v>
      </c>
      <c r="N15" s="2" t="s">
        <v>11</v>
      </c>
      <c r="O15" t="str">
        <f t="shared" si="1"/>
        <v>Electronics</v>
      </c>
      <c r="P15" t="str">
        <f t="shared" si="2"/>
        <v>Electronics</v>
      </c>
    </row>
    <row r="16" spans="1:16" x14ac:dyDescent="0.35">
      <c r="A16">
        <v>1024</v>
      </c>
      <c r="B16" t="s">
        <v>10</v>
      </c>
      <c r="C16" t="s">
        <v>11</v>
      </c>
      <c r="D16">
        <v>2</v>
      </c>
      <c r="E16">
        <v>3000</v>
      </c>
      <c r="F16">
        <v>6000</v>
      </c>
      <c r="G16" t="str">
        <f t="shared" si="0"/>
        <v>Normal Sales</v>
      </c>
      <c r="M16" t="s">
        <v>23</v>
      </c>
      <c r="N16" s="2" t="s">
        <v>14</v>
      </c>
      <c r="O16" t="str">
        <f t="shared" si="1"/>
        <v>Furniture</v>
      </c>
      <c r="P16" t="str">
        <f t="shared" si="2"/>
        <v>Furniture</v>
      </c>
    </row>
    <row r="17" spans="1:16" x14ac:dyDescent="0.35">
      <c r="A17">
        <v>1022</v>
      </c>
      <c r="B17" t="s">
        <v>8</v>
      </c>
      <c r="C17" t="s">
        <v>7</v>
      </c>
      <c r="D17">
        <v>10</v>
      </c>
      <c r="E17">
        <v>500</v>
      </c>
      <c r="F17">
        <v>5000</v>
      </c>
      <c r="G17" t="str">
        <f t="shared" si="0"/>
        <v>Normal Sales</v>
      </c>
      <c r="M17" t="s">
        <v>24</v>
      </c>
      <c r="N17" s="2" t="s">
        <v>7</v>
      </c>
      <c r="O17" t="str">
        <f t="shared" si="1"/>
        <v>Electronics</v>
      </c>
      <c r="P17" t="str">
        <f t="shared" si="2"/>
        <v>Electronics</v>
      </c>
    </row>
    <row r="18" spans="1:16" x14ac:dyDescent="0.35">
      <c r="A18">
        <v>1023</v>
      </c>
      <c r="B18" t="s">
        <v>9</v>
      </c>
      <c r="C18" t="s">
        <v>7</v>
      </c>
      <c r="D18">
        <v>4</v>
      </c>
      <c r="E18">
        <v>1200</v>
      </c>
      <c r="F18">
        <v>4800</v>
      </c>
      <c r="G18" t="str">
        <f t="shared" si="0"/>
        <v>Normal Sales</v>
      </c>
      <c r="M18" t="s">
        <v>25</v>
      </c>
      <c r="N18" s="2" t="s">
        <v>7</v>
      </c>
      <c r="O18" t="str">
        <f t="shared" si="1"/>
        <v>Electronics</v>
      </c>
      <c r="P18" t="str">
        <f t="shared" si="2"/>
        <v>Electronics</v>
      </c>
    </row>
    <row r="19" spans="1:16" x14ac:dyDescent="0.35">
      <c r="A19">
        <v>1016</v>
      </c>
      <c r="B19" t="s">
        <v>24</v>
      </c>
      <c r="C19" t="s">
        <v>7</v>
      </c>
      <c r="D19">
        <v>6</v>
      </c>
      <c r="E19">
        <v>700</v>
      </c>
      <c r="F19">
        <v>4200</v>
      </c>
      <c r="G19" t="str">
        <f t="shared" si="0"/>
        <v>Normal Sales</v>
      </c>
      <c r="M19" t="s">
        <v>26</v>
      </c>
      <c r="N19" s="2" t="s">
        <v>11</v>
      </c>
      <c r="O19" t="str">
        <f t="shared" si="1"/>
        <v>Electronics</v>
      </c>
      <c r="P19" t="str">
        <f t="shared" si="2"/>
        <v>Electronics</v>
      </c>
    </row>
    <row r="20" spans="1:16" x14ac:dyDescent="0.35">
      <c r="A20">
        <v>1027</v>
      </c>
      <c r="B20" t="s">
        <v>16</v>
      </c>
      <c r="C20" t="s">
        <v>7</v>
      </c>
      <c r="D20">
        <v>2</v>
      </c>
      <c r="E20">
        <v>2000</v>
      </c>
      <c r="F20">
        <v>4000</v>
      </c>
      <c r="G20" t="str">
        <f t="shared" si="0"/>
        <v>Normal Sales</v>
      </c>
      <c r="M20" t="s">
        <v>27</v>
      </c>
      <c r="N20" s="2" t="s">
        <v>14</v>
      </c>
      <c r="O20" t="str">
        <f t="shared" si="1"/>
        <v>Electronics</v>
      </c>
      <c r="P20" t="str">
        <f t="shared" si="2"/>
        <v>Electronics</v>
      </c>
    </row>
    <row r="21" spans="1:16" x14ac:dyDescent="0.35">
      <c r="A21">
        <v>1003</v>
      </c>
      <c r="B21" t="s">
        <v>9</v>
      </c>
      <c r="C21" t="s">
        <v>7</v>
      </c>
      <c r="D21">
        <v>3</v>
      </c>
      <c r="E21">
        <v>1200</v>
      </c>
      <c r="F21">
        <v>3600</v>
      </c>
      <c r="G21" t="str">
        <f t="shared" si="0"/>
        <v>Normal Sales</v>
      </c>
      <c r="M21" t="s">
        <v>28</v>
      </c>
      <c r="N21" s="2" t="s">
        <v>14</v>
      </c>
      <c r="O21" t="str">
        <f t="shared" si="1"/>
        <v>Electronics</v>
      </c>
      <c r="P21" t="str">
        <f t="shared" si="2"/>
        <v>Electronics</v>
      </c>
    </row>
    <row r="22" spans="1:16" x14ac:dyDescent="0.35">
      <c r="A22">
        <v>1002</v>
      </c>
      <c r="B22" t="s">
        <v>8</v>
      </c>
      <c r="C22" t="s">
        <v>7</v>
      </c>
      <c r="D22">
        <v>5</v>
      </c>
      <c r="E22">
        <v>500</v>
      </c>
      <c r="F22">
        <v>2500</v>
      </c>
      <c r="G22" t="str">
        <f t="shared" si="0"/>
        <v>Normal Sales</v>
      </c>
    </row>
    <row r="23" spans="1:16" x14ac:dyDescent="0.35">
      <c r="A23">
        <v>1019</v>
      </c>
      <c r="B23" t="s">
        <v>27</v>
      </c>
      <c r="D23">
        <v>4</v>
      </c>
      <c r="E23">
        <v>500</v>
      </c>
      <c r="F23">
        <v>2000</v>
      </c>
      <c r="G23" t="str">
        <f t="shared" si="0"/>
        <v>Normal Sales</v>
      </c>
    </row>
    <row r="24" spans="1:16" x14ac:dyDescent="0.35">
      <c r="A24">
        <v>1026</v>
      </c>
      <c r="B24" t="s">
        <v>13</v>
      </c>
      <c r="C24" t="s">
        <v>14</v>
      </c>
      <c r="D24">
        <v>20</v>
      </c>
      <c r="E24">
        <v>100</v>
      </c>
      <c r="F24">
        <v>2000</v>
      </c>
      <c r="G24" t="str">
        <f t="shared" si="0"/>
        <v>Normal Sales</v>
      </c>
    </row>
    <row r="25" spans="1:16" x14ac:dyDescent="0.35">
      <c r="A25">
        <v>1020</v>
      </c>
      <c r="B25" t="s">
        <v>28</v>
      </c>
      <c r="C25" t="s">
        <v>14</v>
      </c>
      <c r="D25">
        <v>7</v>
      </c>
      <c r="E25">
        <v>250</v>
      </c>
      <c r="F25">
        <v>1750</v>
      </c>
      <c r="G25" t="str">
        <f t="shared" si="0"/>
        <v>Normal Sales</v>
      </c>
    </row>
    <row r="26" spans="1:16" x14ac:dyDescent="0.35">
      <c r="A26">
        <v>1015</v>
      </c>
      <c r="B26" t="s">
        <v>23</v>
      </c>
      <c r="C26" t="s">
        <v>14</v>
      </c>
      <c r="D26">
        <v>15</v>
      </c>
      <c r="E26">
        <v>80</v>
      </c>
      <c r="F26">
        <v>1200</v>
      </c>
      <c r="G26" t="str">
        <f t="shared" si="0"/>
        <v>Normal Sales</v>
      </c>
    </row>
    <row r="27" spans="1:16" x14ac:dyDescent="0.35">
      <c r="A27">
        <v>1006</v>
      </c>
      <c r="B27" t="s">
        <v>13</v>
      </c>
      <c r="C27" t="s">
        <v>14</v>
      </c>
      <c r="D27">
        <v>10</v>
      </c>
      <c r="E27">
        <v>100</v>
      </c>
      <c r="F27">
        <v>1000</v>
      </c>
      <c r="G27" t="str">
        <f t="shared" si="0"/>
        <v>Normal Sales</v>
      </c>
    </row>
    <row r="28" spans="1:16" x14ac:dyDescent="0.35">
      <c r="A28">
        <v>1007</v>
      </c>
      <c r="B28" t="s">
        <v>15</v>
      </c>
      <c r="C28" t="s">
        <v>14</v>
      </c>
      <c r="D28">
        <v>20</v>
      </c>
      <c r="F28">
        <v>400</v>
      </c>
      <c r="G28" t="str">
        <f t="shared" si="0"/>
        <v>Normal Sales</v>
      </c>
    </row>
    <row r="29" spans="1:16" x14ac:dyDescent="0.35">
      <c r="A29">
        <v>1010</v>
      </c>
      <c r="B29" t="s">
        <v>18</v>
      </c>
      <c r="C29" t="s">
        <v>14</v>
      </c>
      <c r="D29">
        <v>8</v>
      </c>
      <c r="E29">
        <v>50</v>
      </c>
      <c r="F29">
        <v>400</v>
      </c>
      <c r="G29" t="str">
        <f t="shared" si="0"/>
        <v>Normal Sales</v>
      </c>
    </row>
    <row r="30" spans="1:16" x14ac:dyDescent="0.35">
      <c r="A30">
        <v>1029</v>
      </c>
      <c r="B30" t="s">
        <v>15</v>
      </c>
      <c r="C30" t="s">
        <v>14</v>
      </c>
      <c r="D30">
        <v>12</v>
      </c>
      <c r="E30">
        <v>20</v>
      </c>
      <c r="F30">
        <v>240</v>
      </c>
      <c r="G30" t="str">
        <f t="shared" si="0"/>
        <v>Normal Sales</v>
      </c>
    </row>
    <row r="31" spans="1:16" x14ac:dyDescent="0.35">
      <c r="A31">
        <v>1025</v>
      </c>
      <c r="B31" t="s">
        <v>12</v>
      </c>
      <c r="C31" t="s">
        <v>11</v>
      </c>
      <c r="D31">
        <v>3</v>
      </c>
      <c r="E31">
        <v>5000</v>
      </c>
      <c r="G31" t="str">
        <f t="shared" si="0"/>
        <v>Normal Sales</v>
      </c>
    </row>
  </sheetData>
  <conditionalFormatting sqref="F2:F31">
    <cfRule type="cellIs" dxfId="0" priority="1" operator="greaterThan">
      <formula>10000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task7</vt:lpstr>
      <vt:lpstr>task9</vt:lpstr>
      <vt:lpstr>task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Nakul mehra</cp:lastModifiedBy>
  <dcterms:created xsi:type="dcterms:W3CDTF">2026-10-03T09:37:24Z</dcterms:created>
  <dcterms:modified xsi:type="dcterms:W3CDTF">2026-10-03T11:11:13Z</dcterms:modified>
</cp:coreProperties>
</file>